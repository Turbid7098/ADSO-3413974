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Analisis" sheetId="2" state="visible" r:id="rId2"/>
    <sheet xmlns:r="http://schemas.openxmlformats.org/officeDocument/2006/relationships" name="Requisi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  <font>
      <name val="Calibri"/>
      <b val="1"/>
      <color rgb="001F1F1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Funcionalidades más mencionadas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'Analisis'!$A$3:$A$6</f>
            </numRef>
          </cat>
          <val>
            <numRef>
              <f>'Analisis'!$B$3:$B$6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Funcionalidad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Factura electrónica</a:t>
            </a:r>
          </a:p>
        </rich>
      </tx>
    </title>
    <plotArea>
      <pieChart>
        <varyColors val="1"/>
        <ser>
          <idx val="0"/>
          <order val="0"/>
          <tx>
            <strRef>
              <f>'Analisis'!L2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'Analisis'!$K$3:$K$5</f>
            </numRef>
          </cat>
          <val>
            <numRef>
              <f>'Analisis'!$L$3:$L$5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13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2" customWidth="1" min="4" max="4"/>
    <col width="20" customWidth="1" min="5" max="5"/>
  </cols>
  <sheetData>
    <row r="1">
      <c r="A1" s="1" t="inlineStr">
        <is>
          <t>Participante</t>
        </is>
      </c>
      <c r="B1" s="1" t="inlineStr">
        <is>
          <t>Rol</t>
        </is>
      </c>
      <c r="C1" s="1" t="inlineStr">
        <is>
          <t>Funcionalidad más importante</t>
        </is>
      </c>
      <c r="D1" s="1" t="inlineStr">
        <is>
          <t>Ventas/día</t>
        </is>
      </c>
      <c r="E1" s="1" t="inlineStr">
        <is>
          <t>¿Factura electrónica?</t>
        </is>
      </c>
      <c r="G1" s="2" t="inlineStr">
        <is>
          <t>Integrantes</t>
        </is>
      </c>
    </row>
    <row r="2">
      <c r="A2" s="3" t="inlineStr">
        <is>
          <t>Carlos R.</t>
        </is>
      </c>
      <c r="B2" s="3" t="inlineStr">
        <is>
          <t>Dueño</t>
        </is>
      </c>
      <c r="C2" s="3" t="inlineStr">
        <is>
          <t>Control de inventario</t>
        </is>
      </c>
      <c r="D2" s="3" t="n">
        <v>50</v>
      </c>
      <c r="E2" s="3" t="inlineStr">
        <is>
          <t>Sí</t>
        </is>
      </c>
      <c r="G2" t="inlineStr">
        <is>
          <t>Juan Pablo Chacon Barragan</t>
        </is>
      </c>
    </row>
    <row r="3">
      <c r="A3" s="3" t="inlineStr">
        <is>
          <t>Martha R.</t>
        </is>
      </c>
      <c r="B3" s="3" t="inlineStr">
        <is>
          <t>Cajera</t>
        </is>
      </c>
      <c r="C3" s="3" t="inlineStr">
        <is>
          <t>Registro de ventas</t>
        </is>
      </c>
      <c r="D3" s="3" t="n">
        <v>50</v>
      </c>
      <c r="E3" s="3" t="inlineStr">
        <is>
          <t>No sé</t>
        </is>
      </c>
      <c r="G3" t="inlineStr">
        <is>
          <t>Juan Sebastián Medina Cardozo</t>
        </is>
      </c>
    </row>
    <row r="4">
      <c r="A4" s="3" t="inlineStr">
        <is>
          <t>Julián P.</t>
        </is>
      </c>
      <c r="B4" s="3" t="inlineStr">
        <is>
          <t>Empleado</t>
        </is>
      </c>
      <c r="C4" s="3" t="inlineStr">
        <is>
          <t>Registro de ventas</t>
        </is>
      </c>
      <c r="D4" s="3" t="n">
        <v>50</v>
      </c>
      <c r="E4" s="3" t="inlineStr">
        <is>
          <t>No me importa</t>
        </is>
      </c>
      <c r="G4" t="inlineStr">
        <is>
          <t>John Stiven Alba Quiroga</t>
        </is>
      </c>
    </row>
    <row r="5">
      <c r="A5" s="3" t="inlineStr">
        <is>
          <t>Cliente 1</t>
        </is>
      </c>
      <c r="B5" s="3" t="inlineStr">
        <is>
          <t>Cliente</t>
        </is>
      </c>
      <c r="C5" s="3" t="inlineStr">
        <is>
          <t>Ver precios en pantalla</t>
        </is>
      </c>
      <c r="D5" s="3" t="n">
        <v>0</v>
      </c>
      <c r="E5" s="3" t="inlineStr">
        <is>
          <t>Sí</t>
        </is>
      </c>
    </row>
    <row r="6">
      <c r="A6" s="3" t="inlineStr">
        <is>
          <t>Cliente 2</t>
        </is>
      </c>
      <c r="B6" s="3" t="inlineStr">
        <is>
          <t>Cliente</t>
        </is>
      </c>
      <c r="C6" s="3" t="inlineStr">
        <is>
          <t>Pago con tarjeta</t>
        </is>
      </c>
      <c r="D6" s="3" t="n">
        <v>0</v>
      </c>
      <c r="E6" s="3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34" customWidth="1" min="4" max="4"/>
    <col width="18" customWidth="1" min="6" max="6"/>
    <col width="12" customWidth="1" min="7" max="7"/>
    <col width="40" customWidth="1" min="8" max="8"/>
    <col width="12" customWidth="1" min="9" max="9"/>
    <col width="16" customWidth="1" min="11" max="11"/>
    <col width="10" customWidth="1" min="12" max="12"/>
  </cols>
  <sheetData>
    <row r="2">
      <c r="A2" s="1" t="inlineStr">
        <is>
          <t>Funcionalidad</t>
        </is>
      </c>
      <c r="B2" s="1" t="inlineStr">
        <is>
          <t>Conteo</t>
        </is>
      </c>
      <c r="C2" s="1" t="inlineStr">
        <is>
          <t>Frecuencia %</t>
        </is>
      </c>
      <c r="D2" s="1" t="inlineStr">
        <is>
          <t>Interpretación</t>
        </is>
      </c>
      <c r="F2" s="1" t="inlineStr">
        <is>
          <t>Métrica</t>
        </is>
      </c>
      <c r="G2" s="1" t="inlineStr">
        <is>
          <t>Valor</t>
        </is>
      </c>
      <c r="H2" s="1" t="inlineStr">
        <is>
          <t>Interpretación</t>
        </is>
      </c>
      <c r="K2" s="1" t="inlineStr">
        <is>
          <t>Respuesta</t>
        </is>
      </c>
      <c r="L2" s="1" t="inlineStr">
        <is>
          <t>Conteo</t>
        </is>
      </c>
    </row>
    <row r="3">
      <c r="A3" t="inlineStr">
        <is>
          <t>Registro de ventas</t>
        </is>
      </c>
      <c r="B3">
        <f>COUNTIF(Datos!$C$2:$C$6,A3)</f>
        <v/>
      </c>
      <c r="C3" s="4">
        <f>B3/COUNTA(Datos!$C$2:$C$6)</f>
        <v/>
      </c>
      <c r="D3" t="inlineStr">
        <is>
          <t>Función más prioritaria del sistema.</t>
        </is>
      </c>
      <c r="F3" t="inlineStr">
        <is>
          <t>Promedio</t>
        </is>
      </c>
      <c r="G3">
        <f>AVERAGE(Datos!$D$2:$D$6)</f>
        <v/>
      </c>
      <c r="H3" t="inlineStr">
        <is>
          <t>El sistema debe soportar una carga promedio cercana a 30 ventas/día considerando clientes no vendedores.</t>
        </is>
      </c>
      <c r="K3" t="inlineStr">
        <is>
          <t>Sí</t>
        </is>
      </c>
      <c r="L3">
        <f>COUNTIF(Datos!$E$2:$E$6,K3)</f>
        <v/>
      </c>
    </row>
    <row r="4">
      <c r="A4" t="inlineStr">
        <is>
          <t>Control de inventario</t>
        </is>
      </c>
      <c r="B4">
        <f>COUNTIF(Datos!$C$2:$C$6,A4)</f>
        <v/>
      </c>
      <c r="C4" s="4">
        <f>B4/COUNTA(Datos!$C$2:$C$6)</f>
        <v/>
      </c>
      <c r="D4" t="inlineStr">
        <is>
          <t>Necesidad crítica para evitar faltantes.</t>
        </is>
      </c>
      <c r="F4" t="inlineStr">
        <is>
          <t>Mínimo</t>
        </is>
      </c>
      <c r="G4">
        <f>MIN(Datos!$D$2:$D$6)</f>
        <v/>
      </c>
      <c r="H4" t="inlineStr">
        <is>
          <t>Hay registros con 0 porque los clientes no reportan ventas propias.</t>
        </is>
      </c>
      <c r="K4" t="inlineStr">
        <is>
          <t>No sé</t>
        </is>
      </c>
      <c r="L4">
        <f>COUNTIF(Datos!$E$2:$E$6,K4)</f>
        <v/>
      </c>
    </row>
    <row r="5">
      <c r="A5" t="inlineStr">
        <is>
          <t>Ver precios en pantalla</t>
        </is>
      </c>
      <c r="B5">
        <f>COUNTIF(Datos!$C$2:$C$6,A5)</f>
        <v/>
      </c>
      <c r="C5" s="4">
        <f>B5/COUNTA(Datos!$C$2:$C$6)</f>
        <v/>
      </c>
      <c r="D5" t="inlineStr">
        <is>
          <t>Reduce tiempo de atención.</t>
        </is>
      </c>
      <c r="F5" t="inlineStr">
        <is>
          <t>Máximo</t>
        </is>
      </c>
      <c r="G5">
        <f>MAX(Datos!$D$2:$D$6)</f>
        <v/>
      </c>
      <c r="H5" t="inlineStr">
        <is>
          <t>Se deben soportar jornadas de 50 ventas o más.</t>
        </is>
      </c>
      <c r="K5" t="inlineStr">
        <is>
          <t>No me importa</t>
        </is>
      </c>
      <c r="L5">
        <f>COUNTIF(Datos!$E$2:$E$6,K5)</f>
        <v/>
      </c>
    </row>
    <row r="6">
      <c r="A6" t="inlineStr">
        <is>
          <t>Pago con tarjeta</t>
        </is>
      </c>
      <c r="B6">
        <f>COUNTIF(Datos!$C$2:$C$6,A6)</f>
        <v/>
      </c>
      <c r="C6" s="4">
        <f>B6/COUNTA(Datos!$C$2:$C$6)</f>
        <v/>
      </c>
      <c r="D6" t="inlineStr">
        <is>
          <t>Mejora la experiencia de compra.</t>
        </is>
      </c>
      <c r="F6" t="inlineStr">
        <is>
          <t>Moda</t>
        </is>
      </c>
      <c r="G6">
        <f>MODE.SNGL(Datos!$D$2:$D$6)</f>
        <v/>
      </c>
      <c r="H6" t="inlineStr">
        <is>
          <t>El valor más repetido es 50, indicando estabilidad en el caso base.</t>
        </is>
      </c>
    </row>
    <row r="9">
      <c r="F9" s="1" t="inlineStr">
        <is>
          <t>Requisito</t>
        </is>
      </c>
      <c r="G9" s="1" t="inlineStr">
        <is>
          <t>Importancia</t>
        </is>
      </c>
      <c r="H9" s="1" t="inlineStr">
        <is>
          <t>Urgencia</t>
        </is>
      </c>
      <c r="I9" s="1" t="inlineStr">
        <is>
          <t>Prioridad</t>
        </is>
      </c>
    </row>
    <row r="10">
      <c r="A10" s="5" t="inlineStr">
        <is>
          <t>Conclusión del análisis</t>
        </is>
      </c>
      <c r="F10" t="inlineStr">
        <is>
          <t>Registro de ventas</t>
        </is>
      </c>
      <c r="G10" t="n">
        <v>5</v>
      </c>
      <c r="H10" t="n">
        <v>5</v>
      </c>
      <c r="I10">
        <f>G10*H10</f>
        <v/>
      </c>
    </row>
    <row r="11">
      <c r="A11" s="6" t="inlineStr">
        <is>
          <t>Los módulos prioritarios del sistema son ventas, inventario, usuarios, consulta de precios y reportes, porque concentran la mayor frecuencia de mención y el mayor puntaje en la matriz.</t>
        </is>
      </c>
      <c r="F11" t="inlineStr">
        <is>
          <t>Control de inventario</t>
        </is>
      </c>
      <c r="G11" t="n">
        <v>5</v>
      </c>
      <c r="H11" t="n">
        <v>4</v>
      </c>
      <c r="I11">
        <f>G11*H11</f>
        <v/>
      </c>
    </row>
    <row r="12">
      <c r="F12" t="inlineStr">
        <is>
          <t>Gestión de usuarios</t>
        </is>
      </c>
      <c r="G12" t="n">
        <v>4</v>
      </c>
      <c r="H12" t="n">
        <v>4</v>
      </c>
      <c r="I12">
        <f>G12*H12</f>
        <v/>
      </c>
    </row>
    <row r="13">
      <c r="F13" t="inlineStr">
        <is>
          <t>Factura electrónica</t>
        </is>
      </c>
      <c r="G13" t="n">
        <v>3</v>
      </c>
      <c r="H13" t="n">
        <v>3</v>
      </c>
      <c r="I13">
        <f>G13*H13</f>
        <v/>
      </c>
    </row>
    <row r="14">
      <c r="F14" t="inlineStr">
        <is>
          <t>Pago con tarjeta</t>
        </is>
      </c>
      <c r="G14" t="n">
        <v>4</v>
      </c>
      <c r="H14" t="n">
        <v>3</v>
      </c>
      <c r="I14">
        <f>G14*H14</f>
        <v/>
      </c>
    </row>
    <row r="15">
      <c r="F15" t="inlineStr">
        <is>
          <t>Consulta de precios</t>
        </is>
      </c>
      <c r="G15" t="n">
        <v>4</v>
      </c>
      <c r="H15" t="n">
        <v>4</v>
      </c>
      <c r="I15">
        <f>G15*H15</f>
        <v/>
      </c>
    </row>
  </sheetData>
  <mergeCells count="1">
    <mergeCell ref="A11:D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24" customWidth="1" min="4" max="4"/>
    <col width="12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Prioridad</t>
        </is>
      </c>
      <c r="F1" s="1" t="inlineStr">
        <is>
          <t>Módulo</t>
        </is>
      </c>
      <c r="H1" s="2" t="inlineStr">
        <is>
          <t>Integrantes</t>
        </is>
      </c>
    </row>
    <row r="2">
      <c r="A2" t="inlineStr">
        <is>
          <t>RF-01</t>
        </is>
      </c>
      <c r="B2" t="inlineStr">
        <is>
          <t>El sistema debe permitir registrar ventas diarias de forma rápida.</t>
        </is>
      </c>
      <c r="C2" t="inlineStr">
        <is>
          <t>Funcional</t>
        </is>
      </c>
      <c r="D2" t="inlineStr">
        <is>
          <t>Encuesta + análisis</t>
        </is>
      </c>
      <c r="E2" t="inlineStr">
        <is>
          <t>Alta</t>
        </is>
      </c>
      <c r="F2" t="inlineStr">
        <is>
          <t>Ventas</t>
        </is>
      </c>
      <c r="H2" t="inlineStr">
        <is>
          <t>Juan Pablo Chacon Barragan</t>
        </is>
      </c>
    </row>
    <row r="3">
      <c r="A3" t="inlineStr">
        <is>
          <t>RF-02</t>
        </is>
      </c>
      <c r="B3" t="inlineStr">
        <is>
          <t>El sistema debe controlar entradas y salidas de inventario.</t>
        </is>
      </c>
      <c r="C3" t="inlineStr">
        <is>
          <t>Funcional</t>
        </is>
      </c>
      <c r="D3" t="inlineStr">
        <is>
          <t>Encuesta + entrevista</t>
        </is>
      </c>
      <c r="E3" t="inlineStr">
        <is>
          <t>Alta</t>
        </is>
      </c>
      <c r="F3" t="inlineStr">
        <is>
          <t>Inventario</t>
        </is>
      </c>
      <c r="H3" t="inlineStr">
        <is>
          <t>Juan Sebastián Medina Cardozo</t>
        </is>
      </c>
    </row>
    <row r="4">
      <c r="A4" t="inlineStr">
        <is>
          <t>RF-03</t>
        </is>
      </c>
      <c r="B4" t="inlineStr">
        <is>
          <t>El sistema debe mostrar precios de productos al cliente.</t>
        </is>
      </c>
      <c r="C4" t="inlineStr">
        <is>
          <t>Funcional</t>
        </is>
      </c>
      <c r="D4" t="inlineStr">
        <is>
          <t>Encuesta</t>
        </is>
      </c>
      <c r="E4" t="inlineStr">
        <is>
          <t>Media</t>
        </is>
      </c>
      <c r="F4" t="inlineStr">
        <is>
          <t>Ventas</t>
        </is>
      </c>
      <c r="H4" t="inlineStr">
        <is>
          <t>John Stiven Alba Quiroga</t>
        </is>
      </c>
    </row>
    <row r="5">
      <c r="A5" t="inlineStr">
        <is>
          <t>RF-04</t>
        </is>
      </c>
      <c r="B5" t="inlineStr">
        <is>
          <t>El sistema debe permitir registrar pagos con tarjeta.</t>
        </is>
      </c>
      <c r="C5" t="inlineStr">
        <is>
          <t>Funcional</t>
        </is>
      </c>
      <c r="D5" t="inlineStr">
        <is>
          <t>Encuesta</t>
        </is>
      </c>
      <c r="E5" t="inlineStr">
        <is>
          <t>Media</t>
        </is>
      </c>
      <c r="F5" t="inlineStr">
        <is>
          <t>Caja</t>
        </is>
      </c>
    </row>
    <row r="6">
      <c r="A6" t="inlineStr">
        <is>
          <t>RF-05</t>
        </is>
      </c>
      <c r="B6" t="inlineStr">
        <is>
          <t>El sistema debe generar reportes diarios de cierre de caja.</t>
        </is>
      </c>
      <c r="C6" t="inlineStr">
        <is>
          <t>Funcional</t>
        </is>
      </c>
      <c r="D6" t="inlineStr">
        <is>
          <t>Observación + análisis</t>
        </is>
      </c>
      <c r="E6" t="inlineStr">
        <is>
          <t>Alta</t>
        </is>
      </c>
      <c r="F6" t="inlineStr">
        <is>
          <t>Reportes</t>
        </is>
      </c>
    </row>
    <row r="7">
      <c r="A7" t="inlineStr">
        <is>
          <t>RF-06</t>
        </is>
      </c>
      <c r="B7" t="inlineStr">
        <is>
          <t>El sistema debe administrar un catálogo de productos con precio, categoría y stock mínimo.</t>
        </is>
      </c>
      <c r="C7" t="inlineStr">
        <is>
          <t>Funcional</t>
        </is>
      </c>
      <c r="D7" t="inlineStr">
        <is>
          <t>Revisión documental</t>
        </is>
      </c>
      <c r="E7" t="inlineStr">
        <is>
          <t>Alta</t>
        </is>
      </c>
      <c r="F7" t="inlineStr">
        <is>
          <t>Productos</t>
        </is>
      </c>
    </row>
    <row r="8">
      <c r="A8" t="inlineStr">
        <is>
          <t>RF-07</t>
        </is>
      </c>
      <c r="B8" t="inlineStr">
        <is>
          <t>El sistema debe permitir crear y gestionar usuarios con roles.</t>
        </is>
      </c>
      <c r="C8" t="inlineStr">
        <is>
          <t>Funcional</t>
        </is>
      </c>
      <c r="D8" t="inlineStr">
        <is>
          <t>Entrevista + taller</t>
        </is>
      </c>
      <c r="E8" t="inlineStr">
        <is>
          <t>Alta</t>
        </is>
      </c>
      <c r="F8" t="inlineStr">
        <is>
          <t>Usuarios</t>
        </is>
      </c>
    </row>
    <row r="9">
      <c r="A9" t="inlineStr">
        <is>
          <t>RF-08</t>
        </is>
      </c>
      <c r="B9" t="inlineStr">
        <is>
          <t>El sistema debe emitir comprobante o recibo de venta.</t>
        </is>
      </c>
      <c r="C9" t="inlineStr">
        <is>
          <t>Funcional</t>
        </is>
      </c>
      <c r="D9" t="inlineStr">
        <is>
          <t>Observación directa</t>
        </is>
      </c>
      <c r="E9" t="inlineStr">
        <is>
          <t>Media</t>
        </is>
      </c>
      <c r="F9" t="inlineStr">
        <is>
          <t>Ventas</t>
        </is>
      </c>
    </row>
    <row r="10">
      <c r="A10" t="inlineStr">
        <is>
          <t>RNF-01</t>
        </is>
      </c>
      <c r="B10" t="inlineStr">
        <is>
          <t>La interfaz debe ser simple y fácil de aprender.</t>
        </is>
      </c>
      <c r="C10" t="inlineStr">
        <is>
          <t>No funcional</t>
        </is>
      </c>
      <c r="D10" t="inlineStr">
        <is>
          <t>Entrevista simulada</t>
        </is>
      </c>
      <c r="E10" t="inlineStr">
        <is>
          <t>Alta</t>
        </is>
      </c>
      <c r="F10" t="inlineStr">
        <is>
          <t>General</t>
        </is>
      </c>
    </row>
    <row r="11">
      <c r="A11" t="inlineStr">
        <is>
          <t>RN-01</t>
        </is>
      </c>
      <c r="B11" t="inlineStr">
        <is>
          <t>Reducir pérdidas por falta de control de inventario.</t>
        </is>
      </c>
      <c r="C11" t="inlineStr">
        <is>
          <t>Negocio</t>
        </is>
      </c>
      <c r="D11" t="inlineStr">
        <is>
          <t>Análisis del negocio</t>
        </is>
      </c>
      <c r="E11" t="inlineStr">
        <is>
          <t>Alta</t>
        </is>
      </c>
      <c r="F11" t="inlineStr">
        <is>
          <t>Negocio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2026-04-11T18:41:45Z</dcterms:created>
  <dcterms:modified xmlns:dcterms="http://purl.org/dc/terms/" xmlns:xsi="http://www.w3.org/2001/XMLSchema-instance" xsi:type="dcterms:W3CDTF">2026-04-11T18:41:45Z</dcterms:modified>
</cp:coreProperties>
</file>